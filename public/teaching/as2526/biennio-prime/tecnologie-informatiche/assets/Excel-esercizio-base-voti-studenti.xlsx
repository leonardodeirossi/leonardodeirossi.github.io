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 svolgere" sheetId="1" r:id="rId5"/>
    <sheet state="visible" name="Svolto" sheetId="2" r:id="rId6"/>
  </sheets>
  <definedNames/>
  <calcPr/>
</workbook>
</file>

<file path=xl/sharedStrings.xml><?xml version="1.0" encoding="utf-8"?>
<sst xmlns="http://schemas.openxmlformats.org/spreadsheetml/2006/main" count="72" uniqueCount="36">
  <si>
    <t>Studente</t>
  </si>
  <si>
    <t>Matematica</t>
  </si>
  <si>
    <t>Italiano</t>
  </si>
  <si>
    <t>Scienze</t>
  </si>
  <si>
    <t>Totale (1)</t>
  </si>
  <si>
    <t>Media (2)</t>
  </si>
  <si>
    <t>Domande</t>
  </si>
  <si>
    <t>Sara</t>
  </si>
  <si>
    <t>Calcola il punteggio totale di ogni studente sommando i punteggi di Matematica, Italiano e Scienze</t>
  </si>
  <si>
    <t>Paola</t>
  </si>
  <si>
    <t>Carlo</t>
  </si>
  <si>
    <t>Calcola la media dei punteggi di ogni studente</t>
  </si>
  <si>
    <t>Giacomo</t>
  </si>
  <si>
    <t>Edoardo</t>
  </si>
  <si>
    <t>Trova il punteggio medio della classe in Matematica</t>
  </si>
  <si>
    <t>Nadia</t>
  </si>
  <si>
    <t>Alessandro</t>
  </si>
  <si>
    <t>Individua il punteggio più alto in Italiano</t>
  </si>
  <si>
    <t>Beatrice</t>
  </si>
  <si>
    <t>Laura</t>
  </si>
  <si>
    <t>Determina il punteggio più basso in Scienze</t>
  </si>
  <si>
    <t>Daniela</t>
  </si>
  <si>
    <t>Marco</t>
  </si>
  <si>
    <t>Determina la differenza tra il punteggio totale più alto e quello più basso tra tutti gli studenti</t>
  </si>
  <si>
    <t>Oscar</t>
  </si>
  <si>
    <t>Pedro</t>
  </si>
  <si>
    <t>Differenza (6)</t>
  </si>
  <si>
    <t>Federica</t>
  </si>
  <si>
    <t>Ivan</t>
  </si>
  <si>
    <t>Conta quanti studenti hanno ottenuto un punteggio superiore a 80 in Matematica</t>
  </si>
  <si>
    <t>Media matematica (3)</t>
  </si>
  <si>
    <t>N° studenti &gt;80 Matematica (7)</t>
  </si>
  <si>
    <t>Punteggio più alto Italiano (4)</t>
  </si>
  <si>
    <t>Ordina l'elenco degli studenti in base al punteggio totale in ordine decrescente</t>
  </si>
  <si>
    <t>Punteggio più basso Scienze (5)</t>
  </si>
  <si>
    <t>Crea un grafico che mostri il punteggio totale di ogni studente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</si>
</sst>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Aptos Narrow"/>
      <scheme val="minor"/>
    </font>
    <font>
      <i/>
      <sz val="12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u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vertical="center"/>
    </xf>
    <xf borderId="1" fillId="0" fontId="3" numFmtId="2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Totale (1) rispetto a Studente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 svolgere'!$E$1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'Da svolgere'!$A$2:$A$16</c:f>
            </c:strRef>
          </c:cat>
          <c:val>
            <c:numRef>
              <c:f>'Da svolgere'!$E$2:$E$16</c:f>
              <c:numCache/>
            </c:numRef>
          </c:val>
        </c:ser>
        <c:axId val="1503305260"/>
        <c:axId val="1582123088"/>
      </c:barChart>
      <c:catAx>
        <c:axId val="1503305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Studente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123088"/>
      </c:catAx>
      <c:valAx>
        <c:axId val="1582123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Totale (1)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305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Totale punteggi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Totale (1)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Svolto!$A$2:$A$16</c:f>
            </c:strRef>
          </c:cat>
          <c:val>
            <c:numRef>
              <c:f>Svolto!$E$2:$E$16</c:f>
              <c:numCache/>
            </c:numRef>
          </c:val>
        </c:ser>
        <c:axId val="261016006"/>
        <c:axId val="2019971099"/>
      </c:barChart>
      <c:catAx>
        <c:axId val="261016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9971099"/>
      </c:catAx>
      <c:valAx>
        <c:axId val="2019971099"/>
        <c:scaling>
          <c:orientation val="minMax"/>
          <c:min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101600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9</xdr:row>
      <xdr:rowOff>85725</xdr:rowOff>
    </xdr:from>
    <xdr:ext cx="5715000" cy="35337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21</xdr:row>
      <xdr:rowOff>180975</xdr:rowOff>
    </xdr:from>
    <xdr:ext cx="4410075" cy="2676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4" width="11.38"/>
    <col customWidth="1" min="5" max="6" width="9.5"/>
    <col customWidth="1" min="7" max="7" width="7.75"/>
    <col customWidth="1" min="8" max="8" width="5.13"/>
    <col customWidth="1" min="9" max="13" width="7.75"/>
    <col customWidth="1" min="14" max="26" width="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5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7</v>
      </c>
      <c r="B2" s="4">
        <v>92.0</v>
      </c>
      <c r="C2" s="4">
        <v>95.0</v>
      </c>
      <c r="D2" s="4">
        <v>94.0</v>
      </c>
      <c r="E2" s="6">
        <f t="shared" ref="E2:E16" si="1">SUM(B2:D2)</f>
        <v>281</v>
      </c>
      <c r="F2" s="8">
        <f t="shared" ref="F2:F16" si="2">AVERAGE(B2:D2)</f>
        <v>93.66666667</v>
      </c>
      <c r="G2" s="4"/>
      <c r="H2" s="4">
        <v>1.0</v>
      </c>
      <c r="I2" s="4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9</v>
      </c>
      <c r="B3" s="4">
        <v>89.0</v>
      </c>
      <c r="C3" s="4">
        <v>90.0</v>
      </c>
      <c r="D3" s="4">
        <v>91.0</v>
      </c>
      <c r="E3" s="6">
        <f t="shared" si="1"/>
        <v>270</v>
      </c>
      <c r="F3" s="8">
        <f t="shared" si="2"/>
        <v>90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10</v>
      </c>
      <c r="B4" s="4">
        <v>90.0</v>
      </c>
      <c r="C4" s="4">
        <v>92.0</v>
      </c>
      <c r="D4" s="4">
        <v>85.0</v>
      </c>
      <c r="E4" s="6">
        <f t="shared" si="1"/>
        <v>267</v>
      </c>
      <c r="F4" s="8">
        <f t="shared" si="2"/>
        <v>89</v>
      </c>
      <c r="G4" s="4"/>
      <c r="H4" s="4">
        <v>2.0</v>
      </c>
      <c r="I4" s="4" t="s">
        <v>11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12</v>
      </c>
      <c r="B5" s="4">
        <v>85.0</v>
      </c>
      <c r="C5" s="4">
        <v>89.0</v>
      </c>
      <c r="D5" s="4">
        <v>90.0</v>
      </c>
      <c r="E5" s="6">
        <f t="shared" si="1"/>
        <v>264</v>
      </c>
      <c r="F5" s="8">
        <f t="shared" si="2"/>
        <v>88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13</v>
      </c>
      <c r="B6" s="4">
        <v>88.0</v>
      </c>
      <c r="C6" s="4">
        <v>84.0</v>
      </c>
      <c r="D6" s="4">
        <v>87.0</v>
      </c>
      <c r="E6" s="6">
        <f t="shared" si="1"/>
        <v>259</v>
      </c>
      <c r="F6" s="8">
        <f t="shared" si="2"/>
        <v>86.33333333</v>
      </c>
      <c r="G6" s="4"/>
      <c r="H6" s="4">
        <v>3.0</v>
      </c>
      <c r="I6" s="4" t="s">
        <v>14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15</v>
      </c>
      <c r="B7" s="4">
        <v>82.0</v>
      </c>
      <c r="C7" s="4">
        <v>88.0</v>
      </c>
      <c r="D7" s="4">
        <v>86.0</v>
      </c>
      <c r="E7" s="6">
        <f t="shared" si="1"/>
        <v>256</v>
      </c>
      <c r="F7" s="8">
        <f t="shared" si="2"/>
        <v>85.33333333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16</v>
      </c>
      <c r="B8" s="4">
        <v>78.0</v>
      </c>
      <c r="C8" s="4">
        <v>85.0</v>
      </c>
      <c r="D8" s="4">
        <v>90.0</v>
      </c>
      <c r="E8" s="6">
        <f t="shared" si="1"/>
        <v>253</v>
      </c>
      <c r="F8" s="8">
        <f t="shared" si="2"/>
        <v>84.33333333</v>
      </c>
      <c r="G8" s="4"/>
      <c r="H8" s="4">
        <v>4.0</v>
      </c>
      <c r="I8" s="4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 t="s">
        <v>18</v>
      </c>
      <c r="B9" s="4">
        <v>82.0</v>
      </c>
      <c r="C9" s="4">
        <v>79.0</v>
      </c>
      <c r="D9" s="4">
        <v>88.0</v>
      </c>
      <c r="E9" s="6">
        <f t="shared" si="1"/>
        <v>249</v>
      </c>
      <c r="F9" s="8">
        <f t="shared" si="2"/>
        <v>83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19</v>
      </c>
      <c r="B10" s="4">
        <v>80.0</v>
      </c>
      <c r="C10" s="4">
        <v>85.0</v>
      </c>
      <c r="D10" s="4">
        <v>83.0</v>
      </c>
      <c r="E10" s="6">
        <f t="shared" si="1"/>
        <v>248</v>
      </c>
      <c r="F10" s="8">
        <f t="shared" si="2"/>
        <v>82.66666667</v>
      </c>
      <c r="G10" s="4"/>
      <c r="H10" s="4">
        <v>5.0</v>
      </c>
      <c r="I10" s="4" t="s">
        <v>20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21</v>
      </c>
      <c r="B11" s="4">
        <v>76.0</v>
      </c>
      <c r="C11" s="4">
        <v>80.0</v>
      </c>
      <c r="D11" s="4">
        <v>82.0</v>
      </c>
      <c r="E11" s="6">
        <f t="shared" si="1"/>
        <v>238</v>
      </c>
      <c r="F11" s="8">
        <f t="shared" si="2"/>
        <v>79.33333333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22</v>
      </c>
      <c r="B12" s="4">
        <v>75.0</v>
      </c>
      <c r="C12" s="4">
        <v>78.0</v>
      </c>
      <c r="D12" s="4">
        <v>80.0</v>
      </c>
      <c r="E12" s="6">
        <f t="shared" si="1"/>
        <v>233</v>
      </c>
      <c r="F12" s="8">
        <f t="shared" si="2"/>
        <v>77.66666667</v>
      </c>
      <c r="G12" s="4"/>
      <c r="H12" s="4">
        <v>6.0</v>
      </c>
      <c r="I12" s="4" t="s">
        <v>23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 t="s">
        <v>24</v>
      </c>
      <c r="B13" s="4">
        <v>77.0</v>
      </c>
      <c r="C13" s="4">
        <v>74.0</v>
      </c>
      <c r="D13" s="4">
        <v>79.0</v>
      </c>
      <c r="E13" s="6">
        <f t="shared" si="1"/>
        <v>230</v>
      </c>
      <c r="F13" s="8">
        <f t="shared" si="2"/>
        <v>76.66666667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 t="s">
        <v>25</v>
      </c>
      <c r="B14" s="4">
        <v>73.0</v>
      </c>
      <c r="C14" s="4">
        <v>77.0</v>
      </c>
      <c r="D14" s="4">
        <v>75.0</v>
      </c>
      <c r="E14" s="6">
        <f t="shared" si="1"/>
        <v>225</v>
      </c>
      <c r="F14" s="8">
        <f t="shared" si="2"/>
        <v>75</v>
      </c>
      <c r="G14" s="4"/>
      <c r="H14" s="4"/>
      <c r="I14" s="4"/>
      <c r="J14" s="4"/>
      <c r="K14" s="4"/>
      <c r="L14" s="3" t="s">
        <v>26</v>
      </c>
      <c r="M14" s="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 t="s">
        <v>27</v>
      </c>
      <c r="B15" s="4">
        <v>70.0</v>
      </c>
      <c r="C15" s="4">
        <v>75.0</v>
      </c>
      <c r="D15" s="4">
        <v>78.0</v>
      </c>
      <c r="E15" s="6">
        <f t="shared" si="1"/>
        <v>223</v>
      </c>
      <c r="F15" s="8">
        <f t="shared" si="2"/>
        <v>74.33333333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 t="s">
        <v>28</v>
      </c>
      <c r="B16" s="4">
        <v>68.0</v>
      </c>
      <c r="C16" s="4">
        <v>72.0</v>
      </c>
      <c r="D16" s="4">
        <v>70.0</v>
      </c>
      <c r="E16" s="6">
        <f t="shared" si="1"/>
        <v>210</v>
      </c>
      <c r="F16" s="8">
        <f t="shared" si="2"/>
        <v>70</v>
      </c>
      <c r="G16" s="4"/>
      <c r="H16" s="4">
        <v>7.0</v>
      </c>
      <c r="I16" s="4" t="s">
        <v>29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" t="s">
        <v>30</v>
      </c>
      <c r="B18" s="6"/>
      <c r="C18" s="4"/>
      <c r="D18" s="4"/>
      <c r="E18" s="4"/>
      <c r="F18" s="4"/>
      <c r="G18" s="4"/>
      <c r="H18" s="4"/>
      <c r="I18" s="4"/>
      <c r="J18" s="4"/>
      <c r="K18" s="4"/>
      <c r="L18" s="3" t="s">
        <v>31</v>
      </c>
      <c r="M18" s="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3" t="s">
        <v>32</v>
      </c>
      <c r="C20" s="6"/>
      <c r="D20" s="4"/>
      <c r="E20" s="4"/>
      <c r="F20" s="4"/>
      <c r="G20" s="4"/>
      <c r="H20" s="4">
        <v>8.0</v>
      </c>
      <c r="I20" s="4" t="s">
        <v>33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3" t="s">
        <v>34</v>
      </c>
      <c r="D22" s="6"/>
      <c r="E22" s="4"/>
      <c r="F22" s="4"/>
      <c r="G22" s="4"/>
      <c r="H22" s="4">
        <v>9.0</v>
      </c>
      <c r="I22" s="4" t="s">
        <v>35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4" width="10.38"/>
    <col customWidth="1" min="5" max="5" width="8.63"/>
    <col customWidth="1" min="6" max="7" width="7.75"/>
    <col customWidth="1" min="8" max="8" width="5.13"/>
    <col customWidth="1" min="9" max="13" width="7.75"/>
    <col customWidth="1" min="14" max="26" width="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5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7</v>
      </c>
      <c r="B2" s="4">
        <v>92.0</v>
      </c>
      <c r="C2" s="4">
        <v>95.0</v>
      </c>
      <c r="D2" s="4">
        <v>94.0</v>
      </c>
      <c r="E2" s="6">
        <f t="shared" ref="E2:E16" si="1">SUM(B2:D2)</f>
        <v>281</v>
      </c>
      <c r="F2" s="7">
        <f t="shared" ref="F2:F16" si="2">AVERAGE(B2:D2)</f>
        <v>93.66666667</v>
      </c>
      <c r="G2" s="4"/>
      <c r="H2" s="4">
        <v>1.0</v>
      </c>
      <c r="I2" s="4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9</v>
      </c>
      <c r="B3" s="4">
        <v>89.0</v>
      </c>
      <c r="C3" s="4">
        <v>90.0</v>
      </c>
      <c r="D3" s="4">
        <v>91.0</v>
      </c>
      <c r="E3" s="6">
        <f t="shared" si="1"/>
        <v>270</v>
      </c>
      <c r="F3" s="7">
        <f t="shared" si="2"/>
        <v>90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10</v>
      </c>
      <c r="B4" s="4">
        <v>90.0</v>
      </c>
      <c r="C4" s="4">
        <v>92.0</v>
      </c>
      <c r="D4" s="4">
        <v>85.0</v>
      </c>
      <c r="E4" s="6">
        <f t="shared" si="1"/>
        <v>267</v>
      </c>
      <c r="F4" s="7">
        <f t="shared" si="2"/>
        <v>89</v>
      </c>
      <c r="G4" s="4"/>
      <c r="H4" s="4">
        <v>2.0</v>
      </c>
      <c r="I4" s="4" t="s">
        <v>11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12</v>
      </c>
      <c r="B5" s="4">
        <v>85.0</v>
      </c>
      <c r="C5" s="4">
        <v>89.0</v>
      </c>
      <c r="D5" s="4">
        <v>90.0</v>
      </c>
      <c r="E5" s="6">
        <f t="shared" si="1"/>
        <v>264</v>
      </c>
      <c r="F5" s="7">
        <f t="shared" si="2"/>
        <v>88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13</v>
      </c>
      <c r="B6" s="4">
        <v>88.0</v>
      </c>
      <c r="C6" s="4">
        <v>84.0</v>
      </c>
      <c r="D6" s="4">
        <v>87.0</v>
      </c>
      <c r="E6" s="6">
        <f t="shared" si="1"/>
        <v>259</v>
      </c>
      <c r="F6" s="7">
        <f t="shared" si="2"/>
        <v>86.33333333</v>
      </c>
      <c r="G6" s="4"/>
      <c r="H6" s="4">
        <v>3.0</v>
      </c>
      <c r="I6" s="4" t="s">
        <v>14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15</v>
      </c>
      <c r="B7" s="4">
        <v>82.0</v>
      </c>
      <c r="C7" s="4">
        <v>88.0</v>
      </c>
      <c r="D7" s="4">
        <v>86.0</v>
      </c>
      <c r="E7" s="6">
        <f t="shared" si="1"/>
        <v>256</v>
      </c>
      <c r="F7" s="7">
        <f t="shared" si="2"/>
        <v>85.33333333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16</v>
      </c>
      <c r="B8" s="4">
        <v>78.0</v>
      </c>
      <c r="C8" s="4">
        <v>85.0</v>
      </c>
      <c r="D8" s="4">
        <v>90.0</v>
      </c>
      <c r="E8" s="6">
        <f t="shared" si="1"/>
        <v>253</v>
      </c>
      <c r="F8" s="7">
        <f t="shared" si="2"/>
        <v>84.33333333</v>
      </c>
      <c r="G8" s="4"/>
      <c r="H8" s="4">
        <v>4.0</v>
      </c>
      <c r="I8" s="4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 t="s">
        <v>18</v>
      </c>
      <c r="B9" s="4">
        <v>82.0</v>
      </c>
      <c r="C9" s="4">
        <v>79.0</v>
      </c>
      <c r="D9" s="4">
        <v>88.0</v>
      </c>
      <c r="E9" s="6">
        <f t="shared" si="1"/>
        <v>249</v>
      </c>
      <c r="F9" s="7">
        <f t="shared" si="2"/>
        <v>83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19</v>
      </c>
      <c r="B10" s="4">
        <v>80.0</v>
      </c>
      <c r="C10" s="4">
        <v>85.0</v>
      </c>
      <c r="D10" s="4">
        <v>83.0</v>
      </c>
      <c r="E10" s="6">
        <f t="shared" si="1"/>
        <v>248</v>
      </c>
      <c r="F10" s="7">
        <f t="shared" si="2"/>
        <v>82.66666667</v>
      </c>
      <c r="G10" s="4"/>
      <c r="H10" s="4">
        <v>5.0</v>
      </c>
      <c r="I10" s="4" t="s">
        <v>20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21</v>
      </c>
      <c r="B11" s="4">
        <v>76.0</v>
      </c>
      <c r="C11" s="4">
        <v>80.0</v>
      </c>
      <c r="D11" s="4">
        <v>82.0</v>
      </c>
      <c r="E11" s="6">
        <f t="shared" si="1"/>
        <v>238</v>
      </c>
      <c r="F11" s="7">
        <f t="shared" si="2"/>
        <v>79.33333333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22</v>
      </c>
      <c r="B12" s="4">
        <v>75.0</v>
      </c>
      <c r="C12" s="4">
        <v>78.0</v>
      </c>
      <c r="D12" s="4">
        <v>80.0</v>
      </c>
      <c r="E12" s="6">
        <f t="shared" si="1"/>
        <v>233</v>
      </c>
      <c r="F12" s="7">
        <f t="shared" si="2"/>
        <v>77.66666667</v>
      </c>
      <c r="G12" s="4"/>
      <c r="H12" s="4">
        <v>6.0</v>
      </c>
      <c r="I12" s="4" t="s">
        <v>23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 t="s">
        <v>24</v>
      </c>
      <c r="B13" s="4">
        <v>77.0</v>
      </c>
      <c r="C13" s="4">
        <v>74.0</v>
      </c>
      <c r="D13" s="4">
        <v>79.0</v>
      </c>
      <c r="E13" s="6">
        <f t="shared" si="1"/>
        <v>230</v>
      </c>
      <c r="F13" s="7">
        <f t="shared" si="2"/>
        <v>76.66666667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 t="s">
        <v>25</v>
      </c>
      <c r="B14" s="4">
        <v>73.0</v>
      </c>
      <c r="C14" s="4">
        <v>77.0</v>
      </c>
      <c r="D14" s="4">
        <v>75.0</v>
      </c>
      <c r="E14" s="6">
        <f t="shared" si="1"/>
        <v>225</v>
      </c>
      <c r="F14" s="7">
        <f t="shared" si="2"/>
        <v>75</v>
      </c>
      <c r="G14" s="4"/>
      <c r="H14" s="4"/>
      <c r="I14" s="4"/>
      <c r="J14" s="4"/>
      <c r="K14" s="4"/>
      <c r="L14" s="3" t="s">
        <v>26</v>
      </c>
      <c r="M14" s="6">
        <f>MAX(E2:E16)-MIN(E2:E16)</f>
        <v>71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 t="s">
        <v>27</v>
      </c>
      <c r="B15" s="4">
        <v>70.0</v>
      </c>
      <c r="C15" s="4">
        <v>75.0</v>
      </c>
      <c r="D15" s="4">
        <v>78.0</v>
      </c>
      <c r="E15" s="6">
        <f t="shared" si="1"/>
        <v>223</v>
      </c>
      <c r="F15" s="7">
        <f t="shared" si="2"/>
        <v>74.33333333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 t="s">
        <v>28</v>
      </c>
      <c r="B16" s="4">
        <v>68.0</v>
      </c>
      <c r="C16" s="4">
        <v>72.0</v>
      </c>
      <c r="D16" s="4">
        <v>70.0</v>
      </c>
      <c r="E16" s="6">
        <f t="shared" si="1"/>
        <v>210</v>
      </c>
      <c r="F16" s="7">
        <f t="shared" si="2"/>
        <v>70</v>
      </c>
      <c r="G16" s="4"/>
      <c r="H16" s="4">
        <v>7.0</v>
      </c>
      <c r="I16" s="4" t="s">
        <v>29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" t="s">
        <v>30</v>
      </c>
      <c r="B18" s="7">
        <f>AVERAGE(B2:B16)</f>
        <v>80.33333333</v>
      </c>
      <c r="C18" s="4"/>
      <c r="D18" s="4"/>
      <c r="E18" s="4"/>
      <c r="F18" s="4"/>
      <c r="G18" s="4"/>
      <c r="H18" s="4"/>
      <c r="I18" s="4"/>
      <c r="J18" s="4"/>
      <c r="K18" s="4"/>
      <c r="L18" s="3" t="s">
        <v>31</v>
      </c>
      <c r="M18" s="6">
        <f>COUNTIF(B2:B16,"&gt;80")</f>
        <v>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3" t="s">
        <v>32</v>
      </c>
      <c r="C20" s="6">
        <f>MAX(C2:C16)</f>
        <v>95</v>
      </c>
      <c r="D20" s="4"/>
      <c r="E20" s="4"/>
      <c r="F20" s="4"/>
      <c r="G20" s="4"/>
      <c r="H20" s="4">
        <v>8.0</v>
      </c>
      <c r="I20" s="4" t="s">
        <v>33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3" t="s">
        <v>34</v>
      </c>
      <c r="D22" s="6">
        <f>MIN(D2:D16)</f>
        <v>70</v>
      </c>
      <c r="E22" s="4"/>
      <c r="F22" s="4"/>
      <c r="G22" s="4"/>
      <c r="H22" s="4">
        <v>9.0</v>
      </c>
      <c r="I22" s="4" t="s">
        <v>35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